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827"/>
  <workbookPr filterPrivacy="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F5" i="1"/>
</calcChain>
</file>

<file path=xl/sharedStrings.xml><?xml version="1.0" encoding="utf-8"?>
<sst xmlns="http://schemas.openxmlformats.org/spreadsheetml/2006/main" count="73" uniqueCount="73">
  <si>
    <t>大分类</t>
    <phoneticPr fontId="1"/>
  </si>
  <si>
    <t>中分类</t>
    <phoneticPr fontId="1"/>
  </si>
  <si>
    <t>编号</t>
    <phoneticPr fontId="1"/>
  </si>
  <si>
    <t>功能详情</t>
    <phoneticPr fontId="1"/>
  </si>
  <si>
    <t>作业量（人日）</t>
    <phoneticPr fontId="1"/>
  </si>
  <si>
    <t>3QC全球远程医疗会诊系统新增需求作业量打算</t>
    <phoneticPr fontId="1"/>
  </si>
  <si>
    <t>美元对应</t>
    <phoneticPr fontId="1"/>
  </si>
  <si>
    <t>费用设置</t>
    <phoneticPr fontId="1"/>
  </si>
  <si>
    <t>确认预约信息</t>
    <phoneticPr fontId="1"/>
  </si>
  <si>
    <t>会诊列表中会诊费显示</t>
    <phoneticPr fontId="1"/>
  </si>
  <si>
    <t>支付页面</t>
    <phoneticPr fontId="1"/>
  </si>
  <si>
    <t>更改会诊费</t>
    <phoneticPr fontId="1"/>
  </si>
  <si>
    <t>退款</t>
    <phoneticPr fontId="1"/>
  </si>
  <si>
    <t>中英文系统切换</t>
    <phoneticPr fontId="1"/>
  </si>
  <si>
    <t>自动：
根据访问IP所在地自动判断显示中/英文系统，中文系统的手机区号默认显示+86，英文系统的手机区号默认显示+1</t>
    <phoneticPr fontId="1"/>
  </si>
  <si>
    <t>会见视频存储</t>
    <phoneticPr fontId="1"/>
  </si>
  <si>
    <t>汇率查询</t>
    <phoneticPr fontId="1"/>
  </si>
  <si>
    <t>作业量合计（人日）</t>
    <phoneticPr fontId="1"/>
  </si>
  <si>
    <t>作业量合计（人月）</t>
    <phoneticPr fontId="1"/>
  </si>
  <si>
    <t>翻译新增获取患者联系方式</t>
    <phoneticPr fontId="1"/>
  </si>
  <si>
    <t>翻译端-翻译中心&gt;我的翻译页中的会诊记录里的患者姓名可点击，患者姓名后面有“获取联系方式”指示标识，点击患者姓名+标识，新标签页打开该患者的患者详情页，信息包括：姓名、性别、联系方式、紧急联系方式和电子邮箱。</t>
    <phoneticPr fontId="1"/>
  </si>
  <si>
    <t>去掉翻译的“取消会诊”功能</t>
    <phoneticPr fontId="1"/>
  </si>
  <si>
    <t>去掉医生的“取消会诊”功能</t>
    <phoneticPr fontId="1"/>
  </si>
  <si>
    <t>翻译端-翻译中心&gt;我的翻译页中，去掉翻译的“取消会诊”功能，即：去掉已生效状态下的“取消会诊”按钮。</t>
    <phoneticPr fontId="1"/>
  </si>
  <si>
    <t>医生端-我的会诊&gt;会诊列表页中，去掉医生的“取消会诊”功能，即：去掉已付款和已生效状态下的“取消会诊”按钮。</t>
    <phoneticPr fontId="1"/>
  </si>
  <si>
    <t>普通/超级管理员-&gt;用户管理-&gt;医生列表-&gt;会诊费
审核通过的医生记录和手动新增的医生记录的会诊费项，默认显示“空 编辑图标（小笔头）”，点击编辑图标，打开更改会诊费窗口，内容显示为：
会诊费*：○$ 输入框 
         ○￥输入框     单选框
设置好会诊费（即：会诊费有值，非空）的医生才会显示在专家库中。
超级管理员-&gt;用户管理-&gt;翻译列表-&gt;翻译费用
翻译费用：占会诊费的x% 编辑图标（小笔头），点击编辑图标，打开更改翻译费用窗口，内容显示为：翻译费用*：占会诊费的x%，其中只有x为变量，可设置。</t>
    <phoneticPr fontId="1"/>
  </si>
  <si>
    <t xml:space="preserve">患者预约时在“确认预约信息”页中的会诊费项，显示两个价格：美元价格和人民币价格，还要显示汇率标准
根据设置该医生的会诊费时，选择的￥和$情况，分两种方式显示，前面显示主价格，括号里显示的是根据汇率换算好的价格，方式如下：
1.医生设置会诊费时选择的是￥2000，则该页面中显示：会诊费：￥2000（约$308.6896）
*今日汇率：￥1=$0.1543 
2.医生设置会诊费时选择的是$1500，则该页面中显示：会诊费：$1500（约￥9718.05）
*今日汇率：$1=￥6.4787 </t>
    <phoneticPr fontId="1"/>
  </si>
  <si>
    <t>患者-&gt;我的会诊-&gt;会诊列表-&gt;会诊费
普通/超级管理员-&gt;会诊管理-&gt;会诊列表-&gt;会诊费
支付前，这两处均显示两个价格：美元价格和人民币价格（显示确认预约信息中的会诊费）
支付后，按照支付方式显示相应的会诊费价格</t>
    <phoneticPr fontId="1"/>
  </si>
  <si>
    <t>在支付页面的支付金额项显示两个价格：美元价格和人民币价格（前面显示主价格，后面显示汇率换算后的价格，中间空格隔开），加上提示“注意：使用银联在线支付人民币价格/使用PayPal支付美元价格/中国PayPal账户无法使用PayPal支付方式进行支付”</t>
    <phoneticPr fontId="1"/>
  </si>
  <si>
    <t>普通/超级管理员-&gt;会诊管理-&gt;会诊列表-&gt;会诊费更改（待付款状态）
更改会诊费窗口中，该医生的会诊费原来设置的是什么货币就显示修改什么货币价格，修改成功后，会诊费项显示相应的货币价格和自动换算好的其他货币价格。（货币：美元和人民币）</t>
    <phoneticPr fontId="1"/>
  </si>
  <si>
    <t>根据付款时选择的支付方式来显示退款金额的货币符号￥或者$</t>
    <phoneticPr fontId="1"/>
  </si>
  <si>
    <t>会见视频存储时间默认为30天，存储时间需可设置，建议放在超级管理员的系统管理&gt;系统设置里</t>
    <phoneticPr fontId="1"/>
  </si>
  <si>
    <t>填写患者信息</t>
    <phoneticPr fontId="1"/>
  </si>
  <si>
    <t>精通语言项添加提示，提示内容为：“请您认真选择您的精通语言，当您需要翻译服务时，它会作为翻译接单时的重要依据。”。</t>
    <phoneticPr fontId="1"/>
  </si>
  <si>
    <t>是否需要翻译</t>
    <phoneticPr fontId="1"/>
  </si>
  <si>
    <t>是否需要翻译项添加提示，提示内容为：“翻译职能：翻译病历、会诊翻译、翻译诊疗方案。”</t>
    <phoneticPr fontId="1"/>
  </si>
  <si>
    <t>普通管理员和超级管理员都能查到每日汇率（美元与人民币的汇率），新增“查询汇率”入口，入口添加在普通/超级管理员&gt;统计分析&gt;次数与时长页中。点击“查询汇率”按钮，弹出查询汇率窗口，显示日期项；点击日期项下拉框后，日历表选择年月日，选择好后，显示所选日期的汇率。其中默认显示当天的汇率。</t>
    <phoneticPr fontId="1"/>
  </si>
  <si>
    <t>注册</t>
    <phoneticPr fontId="1"/>
  </si>
  <si>
    <t>专家注册,翻译注册,患者注册</t>
    <phoneticPr fontId="1"/>
  </si>
  <si>
    <t>用户新增字段</t>
    <phoneticPr fontId="1"/>
  </si>
  <si>
    <t>专家新增字段：电子邮箱、家庭住址、身份证件
患者新增字段：电子邮箱、家庭住址、身份证件
翻译新增字段：电子邮箱、家庭住址、身份证件
普通管理员新增字段：电子邮箱
超级管理员新增字段：电子邮箱</t>
    <phoneticPr fontId="1"/>
  </si>
  <si>
    <t>病历部分</t>
    <phoneticPr fontId="1"/>
  </si>
  <si>
    <t>病历填写须知</t>
    <phoneticPr fontId="1"/>
  </si>
  <si>
    <t>新增病历</t>
    <phoneticPr fontId="1"/>
  </si>
  <si>
    <t>请填写患者信息：
请按照时间顺序具体描述病情的发生及发展：去掉。
请上传相关报告和材料（请上传清晰的电子版）
列举目前可供选择的诊疗方案：去掉。
医疗既往史情况：
整体样式按照设计图调整</t>
    <phoneticPr fontId="1"/>
  </si>
  <si>
    <t>病历文件预览与下载</t>
    <phoneticPr fontId="1"/>
  </si>
  <si>
    <t>JPG图片默认在预览窗口中适应窗口等比例完整显示</t>
    <phoneticPr fontId="1"/>
  </si>
  <si>
    <t>专家库</t>
    <phoneticPr fontId="1"/>
  </si>
  <si>
    <t>各个专家的基本信息栏和专家详情页中新增“会诊费”项</t>
    <phoneticPr fontId="1"/>
  </si>
  <si>
    <t>会诊室优化</t>
    <phoneticPr fontId="1"/>
  </si>
  <si>
    <t>视频会诊区背景色更改
如果无视频画面时，显示该角色的默认图片</t>
    <phoneticPr fontId="1"/>
  </si>
  <si>
    <t>去掉现有的翻译评价功能</t>
    <phoneticPr fontId="1"/>
  </si>
  <si>
    <t>去掉现有的视频会诊结束后，弹出评价翻译窗口功能；去掉普管和超管的翻译列表中操作栏中的“评价”入口。</t>
    <phoneticPr fontId="1"/>
  </si>
  <si>
    <t>整个会诊流程变动</t>
    <phoneticPr fontId="1"/>
  </si>
  <si>
    <t>病历已上传</t>
    <phoneticPr fontId="1"/>
  </si>
  <si>
    <t>上传诊疗方案</t>
    <phoneticPr fontId="1"/>
  </si>
  <si>
    <t>翻译病历</t>
    <phoneticPr fontId="1"/>
  </si>
  <si>
    <t>翻译诊疗方案</t>
    <phoneticPr fontId="1"/>
  </si>
  <si>
    <t>患者、专家、翻译失约修改</t>
    <phoneticPr fontId="1"/>
  </si>
  <si>
    <t>患者失约退款</t>
    <phoneticPr fontId="1"/>
  </si>
  <si>
    <t>专家/翻译失约</t>
    <phoneticPr fontId="1"/>
  </si>
  <si>
    <t>原专家更改时间部分修改</t>
    <phoneticPr fontId="1"/>
  </si>
  <si>
    <t>患者、专家和翻译失约优先级排序</t>
    <phoneticPr fontId="1"/>
  </si>
  <si>
    <t>指派翻译部分</t>
    <phoneticPr fontId="1"/>
  </si>
  <si>
    <t>“回放”部分修改</t>
    <phoneticPr fontId="1"/>
  </si>
  <si>
    <t>系统检测</t>
    <phoneticPr fontId="1"/>
  </si>
  <si>
    <t>摄像头检验，麦克风检验，听筒检验</t>
    <phoneticPr fontId="1"/>
  </si>
  <si>
    <t>重新指派</t>
    <phoneticPr fontId="1"/>
  </si>
  <si>
    <t>系统设置</t>
    <phoneticPr fontId="1"/>
  </si>
  <si>
    <t>需要新增的系统设置,需要修改的系统设置,需要删除的系统设置：</t>
    <phoneticPr fontId="1"/>
  </si>
  <si>
    <t>分类管理</t>
    <phoneticPr fontId="1"/>
  </si>
  <si>
    <t>分类管理跨国语言对应</t>
    <phoneticPr fontId="1"/>
  </si>
  <si>
    <t>短信和邮箱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</si>
</sst>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color theme="1"/>
      <name val="SimSun"/>
    </font>
    <font>
      <sz val="16"/>
      <color theme="1"/>
      <name val="SimSun"/>
    </font>
    <font>
      <sz val="20"/>
      <color theme="1"/>
      <name val="SimSun"/>
    </font>
    <font>
      <sz val="11"/>
      <color theme="0"/>
      <name val="SimSun"/>
    </font>
    <font>
      <sz val="10.5"/>
      <color theme="1"/>
      <name val="SimSun"/>
    </font>
    <font>
      <b/>
      <sz val="24"/>
      <color rgb="FFFF0000"/>
      <name val="SimSun"/>
    </font>
    <font>
      <sz val="16"/>
      <color theme="0"/>
      <name val="SimSun"/>
    </font>
    <font>
      <sz val="11"/>
      <color rgb="FFFF0000"/>
      <name val="SimSun"/>
    </font>
    <font>
      <sz val="11"/>
      <name val="SimSun"/>
    </font>
    <font>
      <sz val="11"/>
      <color theme="1"/>
      <name val="SimSun"/>
    </font>
    <font>
      <sz val="11"/>
      <color rgb="FFFF0000"/>
      <name val="SimSun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3" xfId="0" applyFont="1" applyBorder="1" applyAlignment="1">
      <alignment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vertical="center" wrapText="1"/>
    </xf>
    <xf numFmtId="0" fontId="9" fillId="0" borderId="3" xfId="0" applyFont="1" applyFill="1" applyBorder="1" applyAlignment="1">
      <alignment horizontal="right" vertical="center" wrapText="1"/>
    </xf>
    <xf numFmtId="0" fontId="9" fillId="0" borderId="2" xfId="0" applyFont="1" applyFill="1" applyBorder="1" applyAlignment="1">
      <alignment horizontal="right" vertical="center" wrapText="1"/>
    </xf>
    <xf numFmtId="0" fontId="10" fillId="3" borderId="2" xfId="0" applyFont="1" applyFill="1" applyBorder="1" applyAlignment="1">
      <alignment horizontal="right" vertical="center" wrapText="1"/>
    </xf>
    <xf numFmtId="0" fontId="2" fillId="0" borderId="4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 wrapText="1"/>
    </xf>
    <xf numFmtId="0" fontId="11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right" vertical="center" wrapText="1"/>
    </xf>
    <xf numFmtId="0" fontId="12" fillId="0" borderId="4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0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0"/>
  <sheetViews>
    <sheetView tabSelected="1" topLeftCell="A28" workbookViewId="0">
      <selection activeCell="F10" sqref="F10"/>
    </sheetView>
  </sheetViews>
  <sheetFormatPr defaultColWidth="4.5703125" defaultRowHeight="13.5"/>
  <cols>
    <col min="1" max="1" width="4.5703125" style="1"/>
    <col min="2" max="2" width="8.28515625" style="1" customWidth="1"/>
    <col min="3" max="3" width="20.7109375" style="1" customWidth="1"/>
    <col min="4" max="4" width="25.42578125" style="1" customWidth="1"/>
    <col min="5" max="5" width="59.7109375" style="1" customWidth="1"/>
    <col min="6" max="6" width="18" style="10" customWidth="1"/>
    <col min="7" max="16384" width="4.5703125" style="1"/>
  </cols>
  <sheetData>
    <row r="2" spans="2:6" ht="25.5">
      <c r="B2" s="25" t="s">
        <v>5</v>
      </c>
      <c r="C2" s="25"/>
      <c r="D2" s="25"/>
      <c r="E2" s="25"/>
      <c r="F2" s="25"/>
    </row>
    <row r="3" spans="2:6" ht="25.5">
      <c r="B3" s="5"/>
      <c r="C3" s="5"/>
      <c r="D3" s="5"/>
      <c r="E3" s="5"/>
      <c r="F3" s="7"/>
    </row>
    <row r="4" spans="2:6" ht="25.5">
      <c r="B4" s="5"/>
      <c r="C4" s="5"/>
      <c r="D4" s="5"/>
      <c r="E4" s="6" t="s">
        <v>17</v>
      </c>
      <c r="F4" s="8">
        <f>SUM(F7:F45)</f>
        <v>56.300000000000011</v>
      </c>
    </row>
    <row r="5" spans="2:6" ht="31.5">
      <c r="E5" s="6" t="s">
        <v>18</v>
      </c>
      <c r="F5" s="9">
        <f>F4/20</f>
        <v>2.8150000000000004</v>
      </c>
    </row>
    <row r="6" spans="2:6">
      <c r="B6" s="2" t="s">
        <v>2</v>
      </c>
      <c r="C6" s="2" t="s">
        <v>0</v>
      </c>
      <c r="D6" s="2" t="s">
        <v>1</v>
      </c>
      <c r="E6" s="2" t="s">
        <v>3</v>
      </c>
      <c r="F6" s="2" t="s">
        <v>4</v>
      </c>
    </row>
    <row r="7" spans="2:6">
      <c r="B7" s="11">
        <v>1</v>
      </c>
      <c r="C7" s="12" t="s">
        <v>37</v>
      </c>
      <c r="D7" s="13"/>
      <c r="E7" s="13" t="s">
        <v>38</v>
      </c>
      <c r="F7" s="16">
        <v>3</v>
      </c>
    </row>
    <row r="8" spans="2:6" ht="67.5">
      <c r="B8" s="3">
        <f>B7+1</f>
        <v>2</v>
      </c>
      <c r="C8" s="14" t="s">
        <v>39</v>
      </c>
      <c r="D8" s="15"/>
      <c r="E8" s="15" t="s">
        <v>40</v>
      </c>
      <c r="F8" s="17">
        <v>2</v>
      </c>
    </row>
    <row r="9" spans="2:6">
      <c r="B9" s="3">
        <f t="shared" ref="B9:B39" si="0">B8+1</f>
        <v>3</v>
      </c>
      <c r="C9" s="27" t="s">
        <v>41</v>
      </c>
      <c r="D9" s="15" t="s">
        <v>42</v>
      </c>
      <c r="E9" s="15"/>
      <c r="F9" s="17">
        <v>1</v>
      </c>
    </row>
    <row r="10" spans="2:6" ht="81">
      <c r="B10" s="3">
        <f t="shared" si="0"/>
        <v>4</v>
      </c>
      <c r="C10" s="27"/>
      <c r="D10" s="15" t="s">
        <v>43</v>
      </c>
      <c r="E10" s="15" t="s">
        <v>44</v>
      </c>
      <c r="F10" s="17">
        <v>3.5</v>
      </c>
    </row>
    <row r="11" spans="2:6" ht="18.75" customHeight="1">
      <c r="B11" s="3">
        <f t="shared" si="0"/>
        <v>5</v>
      </c>
      <c r="C11" s="27"/>
      <c r="D11" s="15" t="s">
        <v>45</v>
      </c>
      <c r="E11" s="15" t="s">
        <v>46</v>
      </c>
      <c r="F11" s="17">
        <v>2</v>
      </c>
    </row>
    <row r="12" spans="2:6">
      <c r="B12" s="3">
        <f t="shared" si="0"/>
        <v>6</v>
      </c>
      <c r="C12" s="14" t="s">
        <v>47</v>
      </c>
      <c r="D12" s="15"/>
      <c r="E12" s="15" t="s">
        <v>48</v>
      </c>
      <c r="F12" s="17">
        <v>1</v>
      </c>
    </row>
    <row r="13" spans="2:6" ht="27">
      <c r="B13" s="3">
        <f t="shared" si="0"/>
        <v>7</v>
      </c>
      <c r="C13" s="3" t="s">
        <v>49</v>
      </c>
      <c r="D13" s="3"/>
      <c r="E13" s="3" t="s">
        <v>50</v>
      </c>
      <c r="F13" s="17">
        <v>1</v>
      </c>
    </row>
    <row r="14" spans="2:6" ht="40.5">
      <c r="B14" s="3">
        <f t="shared" si="0"/>
        <v>8</v>
      </c>
      <c r="C14" s="14" t="s">
        <v>21</v>
      </c>
      <c r="D14" s="15"/>
      <c r="E14" s="15" t="s">
        <v>23</v>
      </c>
      <c r="F14" s="18">
        <v>0.3</v>
      </c>
    </row>
    <row r="15" spans="2:6" ht="40.5">
      <c r="B15" s="3">
        <f t="shared" si="0"/>
        <v>9</v>
      </c>
      <c r="C15" s="14" t="s">
        <v>22</v>
      </c>
      <c r="D15" s="15"/>
      <c r="E15" s="15" t="s">
        <v>24</v>
      </c>
      <c r="F15" s="18">
        <v>0.3</v>
      </c>
    </row>
    <row r="16" spans="2:6" ht="27">
      <c r="B16" s="3">
        <f t="shared" si="0"/>
        <v>10</v>
      </c>
      <c r="C16" s="14" t="s">
        <v>51</v>
      </c>
      <c r="D16" s="15"/>
      <c r="E16" s="15" t="s">
        <v>52</v>
      </c>
      <c r="F16" s="17">
        <v>0.3</v>
      </c>
    </row>
    <row r="17" spans="2:6">
      <c r="B17" s="3">
        <f t="shared" si="0"/>
        <v>11</v>
      </c>
      <c r="C17" s="27" t="s">
        <v>53</v>
      </c>
      <c r="D17" s="15" t="s">
        <v>54</v>
      </c>
      <c r="E17" s="15" t="s">
        <v>56</v>
      </c>
      <c r="F17" s="17">
        <v>5</v>
      </c>
    </row>
    <row r="18" spans="2:6" ht="18.75" customHeight="1">
      <c r="B18" s="3">
        <f t="shared" si="0"/>
        <v>12</v>
      </c>
      <c r="C18" s="27"/>
      <c r="D18" s="15" t="s">
        <v>55</v>
      </c>
      <c r="E18" s="15" t="s">
        <v>57</v>
      </c>
      <c r="F18" s="17">
        <v>5</v>
      </c>
    </row>
    <row r="19" spans="2:6" ht="27" customHeight="1">
      <c r="B19" s="3">
        <f t="shared" si="0"/>
        <v>13</v>
      </c>
      <c r="C19" s="27" t="s">
        <v>58</v>
      </c>
      <c r="D19" s="15"/>
      <c r="E19" s="15" t="s">
        <v>59</v>
      </c>
      <c r="F19" s="17">
        <v>2</v>
      </c>
    </row>
    <row r="20" spans="2:6" ht="18.75" customHeight="1">
      <c r="B20" s="3">
        <f t="shared" si="0"/>
        <v>14</v>
      </c>
      <c r="C20" s="27"/>
      <c r="D20" s="15"/>
      <c r="E20" s="15" t="s">
        <v>60</v>
      </c>
      <c r="F20" s="17">
        <v>2</v>
      </c>
    </row>
    <row r="21" spans="2:6" ht="18.75" customHeight="1">
      <c r="B21" s="3">
        <f t="shared" si="0"/>
        <v>15</v>
      </c>
      <c r="C21" s="27"/>
      <c r="D21" s="15"/>
      <c r="E21" s="15" t="s">
        <v>62</v>
      </c>
      <c r="F21" s="17">
        <v>1</v>
      </c>
    </row>
    <row r="22" spans="2:6" ht="27">
      <c r="B22" s="3">
        <f t="shared" si="0"/>
        <v>16</v>
      </c>
      <c r="C22" s="14" t="s">
        <v>61</v>
      </c>
      <c r="D22" s="15"/>
      <c r="E22" s="15"/>
      <c r="F22" s="17">
        <v>1</v>
      </c>
    </row>
    <row r="23" spans="2:6">
      <c r="B23" s="3">
        <f t="shared" si="0"/>
        <v>17</v>
      </c>
      <c r="C23" s="14" t="s">
        <v>63</v>
      </c>
      <c r="D23" s="15"/>
      <c r="E23" s="15" t="s">
        <v>67</v>
      </c>
      <c r="F23" s="17">
        <v>2</v>
      </c>
    </row>
    <row r="24" spans="2:6">
      <c r="B24" s="3">
        <f t="shared" si="0"/>
        <v>18</v>
      </c>
      <c r="C24" s="14" t="s">
        <v>64</v>
      </c>
      <c r="D24" s="15"/>
      <c r="E24" s="15"/>
      <c r="F24" s="17">
        <v>1</v>
      </c>
    </row>
    <row r="25" spans="2:6" ht="67.5">
      <c r="B25" s="3">
        <f t="shared" si="0"/>
        <v>19</v>
      </c>
      <c r="C25" s="14" t="s">
        <v>19</v>
      </c>
      <c r="D25" s="15"/>
      <c r="E25" s="15" t="s">
        <v>20</v>
      </c>
      <c r="F25" s="18">
        <v>1</v>
      </c>
    </row>
    <row r="26" spans="2:6" ht="202.5">
      <c r="B26" s="3">
        <f t="shared" si="0"/>
        <v>20</v>
      </c>
      <c r="C26" s="26" t="s">
        <v>6</v>
      </c>
      <c r="D26" s="3" t="s">
        <v>7</v>
      </c>
      <c r="E26" s="3" t="s">
        <v>25</v>
      </c>
      <c r="F26" s="18">
        <v>2</v>
      </c>
    </row>
    <row r="27" spans="2:6" ht="148.5">
      <c r="B27" s="3">
        <f t="shared" si="0"/>
        <v>21</v>
      </c>
      <c r="C27" s="26"/>
      <c r="D27" s="3" t="s">
        <v>8</v>
      </c>
      <c r="E27" s="3" t="s">
        <v>26</v>
      </c>
      <c r="F27" s="18">
        <v>2</v>
      </c>
    </row>
    <row r="28" spans="2:6" ht="67.5">
      <c r="B28" s="3">
        <f t="shared" si="0"/>
        <v>22</v>
      </c>
      <c r="C28" s="26"/>
      <c r="D28" s="3" t="s">
        <v>9</v>
      </c>
      <c r="E28" s="3" t="s">
        <v>27</v>
      </c>
      <c r="F28" s="18">
        <v>1</v>
      </c>
    </row>
    <row r="29" spans="2:6" ht="63.75">
      <c r="B29" s="3">
        <f t="shared" si="0"/>
        <v>23</v>
      </c>
      <c r="C29" s="26"/>
      <c r="D29" s="3" t="s">
        <v>10</v>
      </c>
      <c r="E29" s="4" t="s">
        <v>28</v>
      </c>
      <c r="F29" s="18">
        <v>0.5</v>
      </c>
    </row>
    <row r="30" spans="2:6" ht="81">
      <c r="B30" s="3">
        <f t="shared" si="0"/>
        <v>24</v>
      </c>
      <c r="C30" s="26"/>
      <c r="D30" s="3" t="s">
        <v>11</v>
      </c>
      <c r="E30" s="3" t="s">
        <v>29</v>
      </c>
      <c r="F30" s="18">
        <v>1</v>
      </c>
    </row>
    <row r="31" spans="2:6" ht="18.75" customHeight="1">
      <c r="B31" s="3">
        <f t="shared" si="0"/>
        <v>25</v>
      </c>
      <c r="C31" s="26"/>
      <c r="D31" s="3" t="s">
        <v>12</v>
      </c>
      <c r="E31" s="3" t="s">
        <v>30</v>
      </c>
      <c r="F31" s="18">
        <v>0.5</v>
      </c>
    </row>
    <row r="32" spans="2:6" ht="40.5">
      <c r="B32" s="3">
        <f t="shared" si="0"/>
        <v>26</v>
      </c>
      <c r="C32" s="3" t="s">
        <v>13</v>
      </c>
      <c r="D32" s="3"/>
      <c r="E32" s="3" t="s">
        <v>14</v>
      </c>
      <c r="F32" s="18">
        <v>1</v>
      </c>
    </row>
    <row r="33" spans="2:6" ht="27">
      <c r="B33" s="3">
        <f t="shared" si="0"/>
        <v>27</v>
      </c>
      <c r="C33" s="3" t="s">
        <v>15</v>
      </c>
      <c r="D33" s="3"/>
      <c r="E33" s="3" t="s">
        <v>31</v>
      </c>
      <c r="F33" s="18">
        <v>0.5</v>
      </c>
    </row>
    <row r="34" spans="2:6" ht="40.5">
      <c r="B34" s="3">
        <f t="shared" si="0"/>
        <v>28</v>
      </c>
      <c r="C34" s="3" t="s">
        <v>32</v>
      </c>
      <c r="D34" s="3"/>
      <c r="E34" s="3" t="s">
        <v>33</v>
      </c>
      <c r="F34" s="18">
        <v>0.2</v>
      </c>
    </row>
    <row r="35" spans="2:6" ht="27">
      <c r="B35" s="3">
        <f t="shared" si="0"/>
        <v>29</v>
      </c>
      <c r="C35" s="3" t="s">
        <v>34</v>
      </c>
      <c r="D35" s="3"/>
      <c r="E35" s="3" t="s">
        <v>35</v>
      </c>
      <c r="F35" s="18">
        <v>0.2</v>
      </c>
    </row>
    <row r="36" spans="2:6" ht="81">
      <c r="B36" s="3">
        <f t="shared" si="0"/>
        <v>30</v>
      </c>
      <c r="C36" s="3" t="s">
        <v>16</v>
      </c>
      <c r="D36" s="3"/>
      <c r="E36" s="3" t="s">
        <v>36</v>
      </c>
      <c r="F36" s="18">
        <v>3</v>
      </c>
    </row>
    <row r="37" spans="2:6">
      <c r="B37" s="3">
        <f t="shared" si="0"/>
        <v>31</v>
      </c>
      <c r="C37" s="3" t="s">
        <v>65</v>
      </c>
      <c r="D37" s="3"/>
      <c r="E37" s="3" t="s">
        <v>66</v>
      </c>
      <c r="F37" s="21">
        <v>2</v>
      </c>
    </row>
    <row r="38" spans="2:6" ht="27">
      <c r="B38" s="3">
        <f t="shared" si="0"/>
        <v>32</v>
      </c>
      <c r="C38" s="22" t="s">
        <v>68</v>
      </c>
      <c r="D38" s="3"/>
      <c r="E38" s="22" t="s">
        <v>69</v>
      </c>
      <c r="F38" s="23">
        <v>2</v>
      </c>
    </row>
    <row r="39" spans="2:6">
      <c r="B39" s="19">
        <f t="shared" si="0"/>
        <v>33</v>
      </c>
      <c r="C39" s="20" t="s">
        <v>70</v>
      </c>
      <c r="D39" s="19"/>
      <c r="E39" s="20" t="s">
        <v>71</v>
      </c>
      <c r="F39" s="24">
        <v>4</v>
      </c>
    </row>
    <row r="40" spans="2:6">
      <c r="B40" s="19">
        <v>34</v>
      </c>
      <c r="C40" s="20" t="s">
        <v>72</v>
      </c>
      <c r="D40" s="19"/>
      <c r="E40" s="20"/>
      <c r="F40" s="24">
        <v>2</v>
      </c>
    </row>
  </sheetData>
  <mergeCells count="5">
    <mergeCell ref="B2:F2"/>
    <mergeCell ref="C26:C31"/>
    <mergeCell ref="C19:C21"/>
    <mergeCell ref="C17:C18"/>
    <mergeCell ref="C9:C11"/>
  </mergeCells>
  <phoneticPr fontId="1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2018-02-03T02:25:28Z</dcterms:modified>
</cp:coreProperties>
</file>