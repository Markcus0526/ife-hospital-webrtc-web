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filterPrivacy="1" defaultThemeVersion="124226"/>
  <xr:revisionPtr revIDLastSave="0" documentId="12_ncr:500000_{BB5287AA-E570-4398-95C4-856CB2E9ED56}" xr6:coauthVersionLast="31" xr6:coauthVersionMax="31" xr10:uidLastSave="{00000000-0000-0000-0000-000000000000}"/>
  <bookViews>
    <workbookView xWindow="0" yWindow="0" windowWidth="20490" windowHeight="7530" xr2:uid="{00000000-000D-0000-FFFF-FFFF00000000}"/>
  </bookViews>
  <sheets>
    <sheet name="AWS" sheetId="19" r:id="rId1"/>
  </sheets>
  <calcPr calcId="162913"/>
</workbook>
</file>

<file path=xl/calcChain.xml><?xml version="1.0" encoding="utf-8"?>
<calcChain xmlns="http://schemas.openxmlformats.org/spreadsheetml/2006/main">
  <c r="O8" i="19" l="1"/>
  <c r="O9" i="19"/>
  <c r="O10" i="19"/>
  <c r="O7" i="19"/>
  <c r="O11" i="19" s="1"/>
  <c r="M8" i="19"/>
  <c r="M9" i="19"/>
  <c r="M10" i="19"/>
  <c r="M7" i="19"/>
  <c r="M11" i="19" s="1"/>
  <c r="J13" i="19" l="1"/>
  <c r="I13" i="19"/>
  <c r="J5" i="19"/>
  <c r="J7" i="19"/>
  <c r="J8" i="19"/>
  <c r="J9" i="19"/>
  <c r="J10" i="19"/>
  <c r="J12" i="19"/>
  <c r="J4" i="19"/>
  <c r="J14" i="19" s="1"/>
  <c r="I5" i="19"/>
  <c r="I7" i="19"/>
  <c r="I8" i="19"/>
  <c r="I9" i="19"/>
  <c r="I10" i="19"/>
  <c r="I12" i="19"/>
  <c r="I4" i="19"/>
  <c r="I14" i="19" s="1"/>
</calcChain>
</file>

<file path=xl/sharedStrings.xml><?xml version="1.0" encoding="utf-8"?>
<sst xmlns="http://schemas.openxmlformats.org/spreadsheetml/2006/main" count="96" uniqueCount="76">
  <si>
    <t xml:space="preserve">吞吐优化 HDD </t>
  </si>
  <si>
    <t>弹性IP地址</t>
  </si>
  <si>
    <t>带宽</t>
  </si>
  <si>
    <t>流量</t>
  </si>
  <si>
    <t>对象存储</t>
  </si>
  <si>
    <t>VPC</t>
  </si>
  <si>
    <t>型号</t>
  </si>
  <si>
    <t>类别</t>
  </si>
  <si>
    <t>EBS gp2</t>
  </si>
  <si>
    <t>EBS st1</t>
  </si>
  <si>
    <t>快照</t>
    <phoneticPr fontId="2" type="noConversion"/>
  </si>
  <si>
    <t>绑定到运行状态的EC2上</t>
  </si>
  <si>
    <t>申请了但未绑定在运行中的EC2上</t>
  </si>
  <si>
    <t>不限制，与启动服务器型号有关</t>
  </si>
  <si>
    <t>数据从Internet传入至云服务器</t>
    <phoneticPr fontId="2" type="noConversion"/>
  </si>
  <si>
    <t>数据从云服务器传出至Internet</t>
    <phoneticPr fontId="2" type="noConversion"/>
  </si>
  <si>
    <t>通用型SSD盘</t>
    <phoneticPr fontId="1" type="noConversion"/>
  </si>
  <si>
    <t>负载均衡器</t>
    <phoneticPr fontId="1" type="noConversion"/>
  </si>
  <si>
    <t>配置要求</t>
    <phoneticPr fontId="1" type="noConversion"/>
  </si>
  <si>
    <t>序号</t>
    <phoneticPr fontId="2" type="noConversion"/>
  </si>
  <si>
    <t>S3</t>
    <phoneticPr fontId="2" type="noConversion"/>
  </si>
  <si>
    <t>¥ 0.746 每 GB 每月</t>
    <phoneticPr fontId="2" type="noConversion"/>
  </si>
  <si>
    <t>AWS技术支持</t>
    <phoneticPr fontId="2" type="noConversion"/>
  </si>
  <si>
    <t>¥ 0.311每 GB 每月</t>
    <phoneticPr fontId="2" type="noConversion"/>
  </si>
  <si>
    <t xml:space="preserve">¥ 0.072 每 GB </t>
    <phoneticPr fontId="2" type="noConversion"/>
  </si>
  <si>
    <t>免费</t>
    <phoneticPr fontId="2" type="noConversion"/>
  </si>
  <si>
    <t>¥ 0.033 每小时每个</t>
    <phoneticPr fontId="2" type="noConversion"/>
  </si>
  <si>
    <t>¥ 0.195 每G每月</t>
    <phoneticPr fontId="2" type="noConversion"/>
  </si>
  <si>
    <t>¥ 0.156 每小时</t>
    <phoneticPr fontId="2" type="noConversion"/>
  </si>
  <si>
    <t>¥ 0.933 每G</t>
    <phoneticPr fontId="2" type="noConversion"/>
  </si>
  <si>
    <t>¥ 0.336每 GB 每月</t>
    <phoneticPr fontId="2" type="noConversion"/>
  </si>
  <si>
    <t>按实际使用量计费的各项服务单价</t>
    <phoneticPr fontId="2" type="noConversion"/>
  </si>
  <si>
    <t>硬盘</t>
    <phoneticPr fontId="2" type="noConversion"/>
  </si>
  <si>
    <t>snapshot</t>
    <phoneticPr fontId="2" type="noConversion"/>
  </si>
  <si>
    <t>ALB</t>
    <phoneticPr fontId="2" type="noConversion"/>
  </si>
  <si>
    <t>ELB</t>
    <phoneticPr fontId="2" type="noConversion"/>
  </si>
  <si>
    <t>1.服务调用
2.数据处理量</t>
    <phoneticPr fontId="1" type="noConversion"/>
  </si>
  <si>
    <t>说明</t>
    <phoneticPr fontId="2" type="noConversion"/>
  </si>
  <si>
    <t>固定的公网Ip地址</t>
    <phoneticPr fontId="2" type="noConversion"/>
  </si>
  <si>
    <t>移动、电信、联通三家ISP BGP链路</t>
    <phoneticPr fontId="2" type="noConversion"/>
  </si>
  <si>
    <t>AWS对网络带宽不做限制，按下行流量计费</t>
    <phoneticPr fontId="2" type="noConversion"/>
  </si>
  <si>
    <t>存储静态文件和资源等 ，11个9的持久性</t>
    <phoneticPr fontId="2" type="noConversion"/>
  </si>
  <si>
    <t>虚拟私有网络，在AWS内划分出一个完全私有和独立的环境。</t>
    <phoneticPr fontId="2" type="noConversion"/>
  </si>
  <si>
    <t>按账单10%计算，最低￥599/月。</t>
    <phoneticPr fontId="2" type="noConversion"/>
  </si>
  <si>
    <t>business support，7*24小时电话、邮件、聊天界面等形式，由后台工程师直接对接解决问题。</t>
    <phoneticPr fontId="2" type="noConversion"/>
  </si>
  <si>
    <t>需求数量</t>
    <phoneticPr fontId="2" type="noConversion"/>
  </si>
  <si>
    <t>型号</t>
    <phoneticPr fontId="2" type="noConversion"/>
  </si>
  <si>
    <t>合计：</t>
    <phoneticPr fontId="2" type="noConversion"/>
  </si>
  <si>
    <t>其他可能会用到的服务，每月统计按实际使用量计费：</t>
    <phoneticPr fontId="2" type="noConversion"/>
  </si>
  <si>
    <t>操作系统/数据库名称</t>
    <phoneticPr fontId="1" type="noConversion"/>
  </si>
  <si>
    <t>可以采用预留实例（类似包年）的服务器+预估硬盘一年的费用：</t>
    <phoneticPr fontId="2" type="noConversion"/>
  </si>
  <si>
    <t>项目1</t>
    <phoneticPr fontId="1" type="noConversion"/>
  </si>
  <si>
    <t>服务器EC2</t>
    <phoneticPr fontId="1" type="noConversion"/>
  </si>
  <si>
    <t>Services</t>
    <phoneticPr fontId="2" type="noConversion"/>
  </si>
  <si>
    <t>linux</t>
    <phoneticPr fontId="2" type="noConversion"/>
  </si>
  <si>
    <t>北京区域对应型号价格（1年，¥）</t>
    <phoneticPr fontId="2" type="noConversion"/>
  </si>
  <si>
    <t>宁夏区域对应型号价格（1年，¥）</t>
    <phoneticPr fontId="2" type="noConversion"/>
  </si>
  <si>
    <t>项目2</t>
    <phoneticPr fontId="1" type="noConversion"/>
  </si>
  <si>
    <t>16核cpu、16G内存、1500GB硬盘</t>
    <phoneticPr fontId="2" type="noConversion"/>
  </si>
  <si>
    <t>项目3</t>
    <phoneticPr fontId="1" type="noConversion"/>
  </si>
  <si>
    <t>3个项目硬盘统计：</t>
    <phoneticPr fontId="1" type="noConversion"/>
  </si>
  <si>
    <t>250G+512G+500G+500G+1500G+500G+500G</t>
    <phoneticPr fontId="1" type="noConversion"/>
  </si>
  <si>
    <t>GP2</t>
    <phoneticPr fontId="1" type="noConversion"/>
  </si>
  <si>
    <t>SSD盘</t>
    <phoneticPr fontId="1" type="noConversion"/>
  </si>
  <si>
    <t>0.746/G/month</t>
    <phoneticPr fontId="1" type="noConversion"/>
  </si>
  <si>
    <t>c4.xlarge</t>
    <phoneticPr fontId="1" type="noConversion"/>
  </si>
  <si>
    <t>c4.2xlarge</t>
    <phoneticPr fontId="1" type="noConversion"/>
  </si>
  <si>
    <t>c4.4xlarge
（16核CPU，30G内存）</t>
    <phoneticPr fontId="1" type="noConversion"/>
  </si>
  <si>
    <t>0.664/G/month</t>
    <phoneticPr fontId="1" type="noConversion"/>
  </si>
  <si>
    <t>小计（北京）</t>
    <phoneticPr fontId="2" type="noConversion"/>
  </si>
  <si>
    <t>小计（宁夏）</t>
    <phoneticPr fontId="2" type="noConversion"/>
  </si>
  <si>
    <t>8核cpu、8G内存、500GB硬盘</t>
  </si>
  <si>
    <t>8核cpu、16G内存、500GB硬盘</t>
  </si>
  <si>
    <t>4核cpu、8G内存、100GB硬盘</t>
  </si>
  <si>
    <t>16核cpu、16G内存、100GB硬盘</t>
  </si>
  <si>
    <t>8核cpu、16G内存、100GB硬盘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</si>
</sst>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¥&quot;#,##0;[Red]&quot;¥&quot;\-#,##0"/>
    <numFmt numFmtId="165" formatCode="[$¥-804]#,##0.00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165" fontId="0" fillId="0" borderId="0"/>
  </cellStyleXfs>
  <cellXfs count="80">
    <xf numFmtId="165" fontId="0" fillId="0" borderId="0" xfId="0"/>
    <xf numFmtId="165" fontId="0" fillId="0" borderId="0" xfId="0" applyAlignment="1">
      <alignment horizontal="center"/>
    </xf>
    <xf numFmtId="165" fontId="0" fillId="0" borderId="0" xfId="0" applyNumberFormat="1"/>
    <xf numFmtId="165" fontId="0" fillId="0" borderId="0" xfId="0" applyAlignment="1">
      <alignment horizontal="left"/>
    </xf>
    <xf numFmtId="165" fontId="0" fillId="2" borderId="1" xfId="0" applyFill="1" applyBorder="1" applyAlignment="1">
      <alignment horizontal="center" vertical="center"/>
    </xf>
    <xf numFmtId="165" fontId="0" fillId="0" borderId="0" xfId="0" applyFill="1"/>
    <xf numFmtId="165" fontId="0" fillId="0" borderId="1" xfId="0" applyFill="1" applyBorder="1" applyAlignment="1">
      <alignment horizontal="center" vertical="center"/>
    </xf>
    <xf numFmtId="165" fontId="0" fillId="0" borderId="1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165" fontId="0" fillId="2" borderId="1" xfId="0" applyFill="1" applyBorder="1" applyAlignment="1">
      <alignment horizontal="left" vertical="center"/>
    </xf>
    <xf numFmtId="165" fontId="0" fillId="0" borderId="0" xfId="0" applyAlignment="1">
      <alignment horizontal="center" wrapText="1"/>
    </xf>
    <xf numFmtId="165" fontId="0" fillId="0" borderId="0" xfId="0"/>
    <xf numFmtId="0" fontId="0" fillId="0" borderId="0" xfId="0" applyNumberFormat="1"/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NumberFormat="1" applyBorder="1"/>
    <xf numFmtId="165" fontId="0" fillId="3" borderId="0" xfId="0" applyNumberFormat="1" applyFill="1"/>
    <xf numFmtId="165" fontId="0" fillId="3" borderId="0" xfId="0" applyFill="1"/>
    <xf numFmtId="165" fontId="0" fillId="3" borderId="0" xfId="0" applyFill="1" applyAlignment="1">
      <alignment horizontal="left"/>
    </xf>
    <xf numFmtId="165" fontId="0" fillId="3" borderId="0" xfId="0" applyFill="1" applyAlignment="1">
      <alignment horizontal="center" wrapText="1"/>
    </xf>
    <xf numFmtId="165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wrapText="1"/>
    </xf>
    <xf numFmtId="0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1" xfId="0" applyNumberFormat="1" applyFill="1" applyBorder="1" applyAlignment="1">
      <alignment horizontal="center" vertical="center"/>
    </xf>
    <xf numFmtId="0" fontId="0" fillId="3" borderId="8" xfId="0" applyNumberFormat="1" applyFill="1" applyBorder="1" applyAlignment="1">
      <alignment horizontal="center" vertical="center"/>
    </xf>
    <xf numFmtId="165" fontId="0" fillId="0" borderId="5" xfId="0" applyBorder="1" applyAlignment="1">
      <alignment horizontal="center"/>
    </xf>
    <xf numFmtId="165" fontId="0" fillId="0" borderId="1" xfId="0" applyBorder="1" applyAlignment="1">
      <alignment horizontal="left" vertical="center"/>
    </xf>
    <xf numFmtId="165" fontId="0" fillId="0" borderId="11" xfId="0" applyBorder="1" applyAlignment="1">
      <alignment horizontal="left" vertical="center"/>
    </xf>
    <xf numFmtId="164" fontId="0" fillId="3" borderId="8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 wrapText="1"/>
    </xf>
    <xf numFmtId="0" fontId="0" fillId="0" borderId="11" xfId="0" applyNumberFormat="1" applyFill="1" applyBorder="1" applyAlignment="1">
      <alignment vertical="center"/>
    </xf>
    <xf numFmtId="0" fontId="0" fillId="4" borderId="9" xfId="0" applyNumberFormat="1" applyFill="1" applyBorder="1" applyAlignment="1">
      <alignment vertical="center"/>
    </xf>
    <xf numFmtId="0" fontId="0" fillId="3" borderId="1" xfId="0" applyNumberForma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/>
    </xf>
    <xf numFmtId="165" fontId="0" fillId="0" borderId="1" xfId="0" applyBorder="1" applyAlignment="1">
      <alignment horizontal="center" wrapText="1"/>
    </xf>
    <xf numFmtId="165" fontId="0" fillId="0" borderId="1" xfId="0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left" vertical="center"/>
    </xf>
    <xf numFmtId="0" fontId="0" fillId="4" borderId="1" xfId="0" applyNumberFormat="1" applyFill="1" applyBorder="1" applyAlignment="1">
      <alignment horizontal="center" vertical="center" wrapText="1"/>
    </xf>
    <xf numFmtId="165" fontId="0" fillId="4" borderId="1" xfId="0" applyFill="1" applyBorder="1" applyAlignment="1">
      <alignment horizontal="center" vertical="center" wrapText="1"/>
    </xf>
    <xf numFmtId="165" fontId="0" fillId="4" borderId="1" xfId="0" applyFill="1" applyBorder="1" applyAlignment="1">
      <alignment horizontal="center"/>
    </xf>
    <xf numFmtId="165" fontId="0" fillId="0" borderId="0" xfId="0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9" xfId="0" applyNumberFormat="1" applyBorder="1" applyAlignment="1">
      <alignment horizontal="left"/>
    </xf>
    <xf numFmtId="0" fontId="0" fillId="0" borderId="8" xfId="0" applyNumberFormat="1" applyBorder="1" applyAlignment="1">
      <alignment horizontal="left"/>
    </xf>
    <xf numFmtId="165" fontId="0" fillId="0" borderId="9" xfId="0" applyNumberFormat="1" applyFill="1" applyBorder="1" applyAlignment="1">
      <alignment horizontal="center" vertical="center"/>
    </xf>
    <xf numFmtId="165" fontId="0" fillId="0" borderId="8" xfId="0" applyNumberFormat="1" applyFill="1" applyBorder="1" applyAlignment="1">
      <alignment horizontal="center" vertical="center"/>
    </xf>
    <xf numFmtId="165" fontId="0" fillId="3" borderId="9" xfId="0" applyFill="1" applyBorder="1" applyAlignment="1">
      <alignment horizontal="center" vertical="center" wrapText="1"/>
    </xf>
    <xf numFmtId="165" fontId="0" fillId="3" borderId="8" xfId="0" applyFill="1" applyBorder="1" applyAlignment="1">
      <alignment horizontal="center" vertical="center" wrapText="1"/>
    </xf>
    <xf numFmtId="0" fontId="0" fillId="3" borderId="9" xfId="0" applyNumberFormat="1" applyFill="1" applyBorder="1" applyAlignment="1">
      <alignment horizontal="center" vertical="center" wrapText="1"/>
    </xf>
    <xf numFmtId="0" fontId="0" fillId="3" borderId="8" xfId="0" applyNumberFormat="1" applyFill="1" applyBorder="1" applyAlignment="1">
      <alignment horizontal="center" vertical="center" wrapText="1"/>
    </xf>
    <xf numFmtId="165" fontId="0" fillId="4" borderId="9" xfId="0" applyNumberFormat="1" applyFill="1" applyBorder="1" applyAlignment="1">
      <alignment horizontal="center" vertical="center"/>
    </xf>
    <xf numFmtId="165" fontId="0" fillId="4" borderId="8" xfId="0" applyNumberFormat="1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left" vertical="center"/>
    </xf>
    <xf numFmtId="0" fontId="0" fillId="4" borderId="3" xfId="0" applyNumberFormat="1" applyFill="1" applyBorder="1" applyAlignment="1">
      <alignment horizontal="left" vertical="center"/>
    </xf>
    <xf numFmtId="0" fontId="0" fillId="4" borderId="2" xfId="0" applyNumberFormat="1" applyFill="1" applyBorder="1" applyAlignment="1">
      <alignment horizontal="center" vertical="center" wrapText="1"/>
    </xf>
    <xf numFmtId="0" fontId="0" fillId="4" borderId="3" xfId="0" applyNumberFormat="1" applyFill="1" applyBorder="1" applyAlignment="1">
      <alignment horizontal="center" vertical="center" wrapText="1"/>
    </xf>
    <xf numFmtId="0" fontId="0" fillId="4" borderId="9" xfId="0" applyNumberFormat="1" applyFill="1" applyBorder="1" applyAlignment="1">
      <alignment horizontal="left" vertical="center"/>
    </xf>
    <xf numFmtId="0" fontId="0" fillId="4" borderId="11" xfId="0" applyNumberFormat="1" applyFill="1" applyBorder="1" applyAlignment="1">
      <alignment horizontal="left" vertical="center"/>
    </xf>
    <xf numFmtId="0" fontId="3" fillId="4" borderId="10" xfId="0" applyNumberFormat="1" applyFont="1" applyFill="1" applyBorder="1" applyAlignment="1">
      <alignment horizontal="left" vertical="center"/>
    </xf>
    <xf numFmtId="0" fontId="3" fillId="4" borderId="4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165" fontId="0" fillId="0" borderId="2" xfId="0" applyFill="1" applyBorder="1" applyAlignment="1">
      <alignment horizontal="center" vertical="center" wrapText="1"/>
    </xf>
    <xf numFmtId="165" fontId="0" fillId="0" borderId="3" xfId="0" applyFill="1" applyBorder="1" applyAlignment="1">
      <alignment horizontal="center" vertical="center" wrapText="1"/>
    </xf>
    <xf numFmtId="0" fontId="0" fillId="0" borderId="2" xfId="0" applyNumberFormat="1" applyBorder="1" applyAlignment="1">
      <alignment horizontal="left" vertical="center"/>
    </xf>
    <xf numFmtId="0" fontId="0" fillId="0" borderId="3" xfId="0" applyNumberFormat="1" applyBorder="1" applyAlignment="1">
      <alignment horizontal="left" vertical="center"/>
    </xf>
    <xf numFmtId="165" fontId="0" fillId="0" borderId="2" xfId="0" applyBorder="1" applyAlignment="1">
      <alignment horizontal="center" vertical="center" wrapText="1"/>
    </xf>
    <xf numFmtId="165" fontId="0" fillId="0" borderId="3" xfId="0" applyBorder="1" applyAlignment="1">
      <alignment horizontal="center" vertical="center" wrapText="1"/>
    </xf>
    <xf numFmtId="0" fontId="0" fillId="3" borderId="9" xfId="0" applyNumberFormat="1" applyFill="1" applyBorder="1" applyAlignment="1">
      <alignment horizontal="center" vertical="center"/>
    </xf>
    <xf numFmtId="0" fontId="0" fillId="3" borderId="11" xfId="0" applyNumberFormat="1" applyFill="1" applyBorder="1" applyAlignment="1">
      <alignment horizontal="center" vertical="center"/>
    </xf>
    <xf numFmtId="0" fontId="0" fillId="3" borderId="8" xfId="0" applyNumberFormat="1" applyFill="1" applyBorder="1" applyAlignment="1">
      <alignment horizontal="center" vertical="center"/>
    </xf>
    <xf numFmtId="0" fontId="3" fillId="4" borderId="9" xfId="0" applyNumberFormat="1" applyFont="1" applyFill="1" applyBorder="1" applyAlignment="1">
      <alignment horizontal="left" vertical="center"/>
    </xf>
    <xf numFmtId="0" fontId="3" fillId="4" borderId="11" xfId="0" applyNumberFormat="1" applyFont="1" applyFill="1" applyBorder="1" applyAlignment="1">
      <alignment horizontal="left" vertical="center"/>
    </xf>
    <xf numFmtId="0" fontId="3" fillId="4" borderId="8" xfId="0" applyNumberFormat="1" applyFont="1" applyFill="1" applyBorder="1" applyAlignment="1">
      <alignment horizontal="left" vertical="center"/>
    </xf>
    <xf numFmtId="165" fontId="0" fillId="2" borderId="9" xfId="0" applyNumberFormat="1" applyFill="1" applyBorder="1" applyAlignment="1">
      <alignment horizontal="center" vertical="center"/>
    </xf>
    <xf numFmtId="165" fontId="0" fillId="2" borderId="8" xfId="0" applyNumberFormat="1" applyFill="1" applyBorder="1" applyAlignment="1">
      <alignment horizontal="center" vertical="center"/>
    </xf>
    <xf numFmtId="165" fontId="0" fillId="0" borderId="6" xfId="0" applyFill="1" applyBorder="1" applyAlignment="1">
      <alignment horizontal="left" vertical="center"/>
    </xf>
    <xf numFmtId="165" fontId="0" fillId="0" borderId="7" xfId="0" applyFill="1" applyBorder="1" applyAlignment="1">
      <alignment horizontal="left" vertical="center"/>
    </xf>
    <xf numFmtId="165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A2" workbookViewId="0">
      <selection activeCell="C7" sqref="C7"/>
    </sheetView>
  </sheetViews>
  <sheetFormatPr defaultColWidth="9" defaultRowHeight="15"/>
  <cols>
    <col min="1" max="1" width="15" style="12" customWidth="1"/>
    <col min="2" max="2" width="26.28515625" style="12" customWidth="1"/>
    <col min="3" max="3" width="37" style="1" customWidth="1"/>
    <col min="4" max="4" width="19.42578125" style="2" customWidth="1"/>
    <col min="5" max="5" width="12.28515625" style="11" customWidth="1"/>
    <col min="6" max="6" width="21.140625" style="3" customWidth="1"/>
    <col min="7" max="8" width="17.7109375" style="10" customWidth="1"/>
    <col min="9" max="9" width="17" style="11" customWidth="1"/>
    <col min="10" max="10" width="19.7109375" style="11" customWidth="1"/>
    <col min="11" max="16384" width="9" style="11"/>
  </cols>
  <sheetData>
    <row r="1" spans="1:17" ht="21" customHeight="1">
      <c r="A1" s="60" t="s">
        <v>50</v>
      </c>
      <c r="B1" s="61"/>
      <c r="C1" s="61"/>
      <c r="D1" s="61"/>
      <c r="E1" s="61"/>
      <c r="F1" s="61"/>
      <c r="G1" s="61"/>
      <c r="H1" s="61"/>
      <c r="I1" s="61"/>
      <c r="J1" s="61"/>
    </row>
    <row r="2" spans="1:17" ht="45">
      <c r="A2" s="13" t="s">
        <v>19</v>
      </c>
      <c r="B2" s="13" t="s">
        <v>53</v>
      </c>
      <c r="C2" s="9" t="s">
        <v>18</v>
      </c>
      <c r="D2" s="4" t="s">
        <v>49</v>
      </c>
      <c r="E2" s="8" t="s">
        <v>45</v>
      </c>
      <c r="F2" s="8" t="s">
        <v>46</v>
      </c>
      <c r="G2" s="31" t="s">
        <v>55</v>
      </c>
      <c r="H2" s="31" t="s">
        <v>56</v>
      </c>
      <c r="I2" s="4" t="s">
        <v>69</v>
      </c>
      <c r="J2" s="4" t="s">
        <v>70</v>
      </c>
    </row>
    <row r="3" spans="1:17">
      <c r="A3" s="33" t="s">
        <v>51</v>
      </c>
      <c r="B3" s="32"/>
      <c r="C3" s="32"/>
      <c r="D3" s="32"/>
      <c r="E3" s="32"/>
      <c r="F3" s="32"/>
      <c r="G3" s="32"/>
      <c r="H3" s="32"/>
      <c r="I3" s="35"/>
      <c r="J3" s="20"/>
    </row>
    <row r="4" spans="1:17">
      <c r="A4" s="14">
        <v>1</v>
      </c>
      <c r="B4" s="14" t="s">
        <v>52</v>
      </c>
      <c r="C4" s="79" t="s">
        <v>72</v>
      </c>
      <c r="D4" s="14" t="s">
        <v>54</v>
      </c>
      <c r="E4" s="14">
        <v>1</v>
      </c>
      <c r="F4" s="14" t="s">
        <v>65</v>
      </c>
      <c r="G4" s="24">
        <v>6667</v>
      </c>
      <c r="H4" s="24">
        <v>3957</v>
      </c>
      <c r="I4" s="36">
        <f>G4*E4</f>
        <v>6667</v>
      </c>
      <c r="J4" s="20">
        <f>H4*E4</f>
        <v>3957</v>
      </c>
    </row>
    <row r="5" spans="1:17">
      <c r="A5" s="14">
        <v>2</v>
      </c>
      <c r="B5" s="14" t="s">
        <v>52</v>
      </c>
      <c r="C5" s="79" t="s">
        <v>75</v>
      </c>
      <c r="D5" s="14" t="s">
        <v>54</v>
      </c>
      <c r="E5" s="14">
        <v>1</v>
      </c>
      <c r="F5" s="14" t="s">
        <v>66</v>
      </c>
      <c r="G5" s="24">
        <v>13333</v>
      </c>
      <c r="H5" s="24">
        <v>7913</v>
      </c>
      <c r="I5" s="36">
        <f t="shared" ref="I5:I12" si="0">G5*E5</f>
        <v>13333</v>
      </c>
      <c r="J5" s="20">
        <f t="shared" ref="J5:J12" si="1">H5*E5</f>
        <v>7913</v>
      </c>
    </row>
    <row r="6" spans="1:17">
      <c r="A6" s="33" t="s">
        <v>57</v>
      </c>
      <c r="B6" s="32"/>
      <c r="C6" s="32"/>
      <c r="D6" s="32"/>
      <c r="E6" s="32"/>
      <c r="F6" s="32"/>
      <c r="G6" s="32"/>
      <c r="H6" s="32"/>
      <c r="I6" s="36"/>
      <c r="J6" s="20"/>
    </row>
    <row r="7" spans="1:17">
      <c r="A7" s="14">
        <v>1</v>
      </c>
      <c r="B7" s="14" t="s">
        <v>52</v>
      </c>
      <c r="C7" s="28" t="s">
        <v>71</v>
      </c>
      <c r="D7" s="14" t="s">
        <v>54</v>
      </c>
      <c r="E7" s="14">
        <v>1</v>
      </c>
      <c r="F7" s="14" t="s">
        <v>65</v>
      </c>
      <c r="G7" s="24">
        <v>6667</v>
      </c>
      <c r="H7" s="24">
        <v>3957</v>
      </c>
      <c r="I7" s="36">
        <f t="shared" si="0"/>
        <v>6667</v>
      </c>
      <c r="J7" s="20">
        <f t="shared" si="1"/>
        <v>3957</v>
      </c>
      <c r="L7" s="42">
        <v>2.2679999999999998</v>
      </c>
      <c r="M7" s="42">
        <f>L7*24</f>
        <v>54.431999999999995</v>
      </c>
      <c r="N7" s="42">
        <v>1.3560000000000001</v>
      </c>
      <c r="O7" s="42">
        <f>N7*24</f>
        <v>32.544000000000004</v>
      </c>
      <c r="P7" s="42"/>
      <c r="Q7" s="42"/>
    </row>
    <row r="8" spans="1:17">
      <c r="A8" s="14">
        <v>2</v>
      </c>
      <c r="B8" s="14" t="s">
        <v>52</v>
      </c>
      <c r="C8" s="28" t="s">
        <v>73</v>
      </c>
      <c r="D8" s="14" t="s">
        <v>54</v>
      </c>
      <c r="E8" s="14">
        <v>1</v>
      </c>
      <c r="F8" s="14" t="s">
        <v>65</v>
      </c>
      <c r="G8" s="24">
        <v>6667</v>
      </c>
      <c r="H8" s="24">
        <v>3957</v>
      </c>
      <c r="I8" s="36">
        <f t="shared" si="0"/>
        <v>6667</v>
      </c>
      <c r="J8" s="20">
        <f t="shared" si="1"/>
        <v>3957</v>
      </c>
      <c r="L8" s="42">
        <v>2.2679999999999998</v>
      </c>
      <c r="M8" s="42">
        <f t="shared" ref="M8:M10" si="2">L8*24</f>
        <v>54.431999999999995</v>
      </c>
      <c r="N8" s="42">
        <v>1.36</v>
      </c>
      <c r="O8" s="42">
        <f t="shared" ref="O8:O10" si="3">N8*24</f>
        <v>32.64</v>
      </c>
      <c r="P8" s="42"/>
      <c r="Q8" s="42"/>
    </row>
    <row r="9" spans="1:17" ht="24.75" customHeight="1">
      <c r="A9" s="14">
        <v>3</v>
      </c>
      <c r="B9" s="14" t="s">
        <v>52</v>
      </c>
      <c r="C9" s="28" t="s">
        <v>58</v>
      </c>
      <c r="D9" s="14" t="s">
        <v>54</v>
      </c>
      <c r="E9" s="14">
        <v>1</v>
      </c>
      <c r="F9" s="34" t="s">
        <v>67</v>
      </c>
      <c r="G9" s="24">
        <v>26667</v>
      </c>
      <c r="H9" s="24">
        <v>15826</v>
      </c>
      <c r="I9" s="37">
        <f t="shared" si="0"/>
        <v>26667</v>
      </c>
      <c r="J9" s="20">
        <f t="shared" si="1"/>
        <v>15826</v>
      </c>
      <c r="L9" s="42">
        <v>9.0709999999999997</v>
      </c>
      <c r="M9" s="42">
        <f t="shared" si="2"/>
        <v>217.70400000000001</v>
      </c>
      <c r="N9" s="42">
        <v>5.4219999999999997</v>
      </c>
      <c r="O9" s="42">
        <f t="shared" si="3"/>
        <v>130.12799999999999</v>
      </c>
      <c r="P9" s="42"/>
      <c r="Q9" s="42"/>
    </row>
    <row r="10" spans="1:17" ht="24.75" customHeight="1">
      <c r="A10" s="14">
        <v>4</v>
      </c>
      <c r="B10" s="14" t="s">
        <v>52</v>
      </c>
      <c r="C10" s="79" t="s">
        <v>74</v>
      </c>
      <c r="D10" s="14" t="s">
        <v>54</v>
      </c>
      <c r="E10" s="14">
        <v>1</v>
      </c>
      <c r="F10" s="14" t="s">
        <v>66</v>
      </c>
      <c r="G10" s="24">
        <v>13333</v>
      </c>
      <c r="H10" s="24">
        <v>7913</v>
      </c>
      <c r="I10" s="37">
        <f t="shared" si="0"/>
        <v>13333</v>
      </c>
      <c r="J10" s="20">
        <f t="shared" si="1"/>
        <v>7913</v>
      </c>
      <c r="L10" s="42">
        <v>4.5350000000000001</v>
      </c>
      <c r="M10" s="42">
        <f t="shared" si="2"/>
        <v>108.84</v>
      </c>
      <c r="N10" s="42">
        <v>2.7109999999999999</v>
      </c>
      <c r="O10" s="42">
        <f t="shared" si="3"/>
        <v>65.063999999999993</v>
      </c>
      <c r="P10" s="42"/>
      <c r="Q10" s="42"/>
    </row>
    <row r="11" spans="1:17">
      <c r="A11" s="33" t="s">
        <v>59</v>
      </c>
      <c r="B11" s="32"/>
      <c r="C11" s="32"/>
      <c r="D11" s="32"/>
      <c r="E11" s="32"/>
      <c r="F11" s="32"/>
      <c r="G11" s="32"/>
      <c r="H11" s="32"/>
      <c r="I11" s="36"/>
      <c r="J11" s="20"/>
      <c r="M11" s="42">
        <f>SUM(M7:M10)</f>
        <v>435.40800000000002</v>
      </c>
      <c r="O11" s="42">
        <f>SUM(O7:O10)</f>
        <v>260.37599999999998</v>
      </c>
    </row>
    <row r="12" spans="1:17">
      <c r="A12" s="14">
        <v>1</v>
      </c>
      <c r="B12" s="14" t="s">
        <v>52</v>
      </c>
      <c r="C12" s="79" t="s">
        <v>71</v>
      </c>
      <c r="D12" s="14" t="s">
        <v>54</v>
      </c>
      <c r="E12" s="14">
        <v>1</v>
      </c>
      <c r="F12" s="14" t="s">
        <v>65</v>
      </c>
      <c r="G12" s="24">
        <v>6667</v>
      </c>
      <c r="H12" s="24">
        <v>3957</v>
      </c>
      <c r="I12" s="36">
        <f t="shared" si="0"/>
        <v>6667</v>
      </c>
      <c r="J12" s="20">
        <f t="shared" si="1"/>
        <v>3957</v>
      </c>
    </row>
    <row r="13" spans="1:17" ht="22.5" customHeight="1">
      <c r="A13" s="58" t="s">
        <v>60</v>
      </c>
      <c r="B13" s="59"/>
      <c r="C13" s="29" t="s">
        <v>61</v>
      </c>
      <c r="D13" s="25" t="s">
        <v>63</v>
      </c>
      <c r="E13" s="14">
        <v>1</v>
      </c>
      <c r="F13" s="14" t="s">
        <v>62</v>
      </c>
      <c r="G13" s="30" t="s">
        <v>64</v>
      </c>
      <c r="H13" s="30" t="s">
        <v>68</v>
      </c>
      <c r="I13" s="37">
        <f>4262*0.746*12</f>
        <v>38153.423999999999</v>
      </c>
      <c r="J13" s="37">
        <f>4262*0.664*12</f>
        <v>33959.616000000002</v>
      </c>
    </row>
    <row r="14" spans="1:17" ht="23.25" customHeight="1">
      <c r="A14" s="69" t="s">
        <v>47</v>
      </c>
      <c r="B14" s="70"/>
      <c r="C14" s="70"/>
      <c r="D14" s="70"/>
      <c r="E14" s="70"/>
      <c r="F14" s="70"/>
      <c r="G14" s="71"/>
      <c r="H14" s="26"/>
      <c r="I14" s="20">
        <f>SUM(I4:I13)</f>
        <v>118154.424</v>
      </c>
      <c r="J14" s="20">
        <f>SUM(J4:J13)</f>
        <v>81439.616000000009</v>
      </c>
    </row>
    <row r="15" spans="1:17">
      <c r="D15" s="16"/>
      <c r="E15" s="17"/>
      <c r="F15" s="18"/>
      <c r="G15" s="19"/>
      <c r="H15" s="19"/>
    </row>
    <row r="16" spans="1:17" ht="21" customHeight="1">
      <c r="A16" s="72" t="s">
        <v>48</v>
      </c>
      <c r="B16" s="73"/>
      <c r="C16" s="73"/>
      <c r="D16" s="73"/>
      <c r="E16" s="74"/>
      <c r="F16" s="11"/>
      <c r="G16" s="11"/>
      <c r="H16" s="11"/>
    </row>
    <row r="17" spans="1:9">
      <c r="A17" s="13" t="s">
        <v>7</v>
      </c>
      <c r="B17" s="13" t="s">
        <v>37</v>
      </c>
      <c r="C17" s="4" t="s">
        <v>6</v>
      </c>
      <c r="D17" s="75" t="s">
        <v>31</v>
      </c>
      <c r="E17" s="76"/>
      <c r="F17" s="11"/>
      <c r="G17" s="11"/>
      <c r="H17" s="11"/>
    </row>
    <row r="18" spans="1:9" s="5" customFormat="1">
      <c r="A18" s="77" t="s">
        <v>32</v>
      </c>
      <c r="B18" s="21" t="s">
        <v>16</v>
      </c>
      <c r="C18" s="6" t="s">
        <v>8</v>
      </c>
      <c r="D18" s="46" t="s">
        <v>21</v>
      </c>
      <c r="E18" s="47"/>
      <c r="F18" s="11"/>
      <c r="G18" s="11"/>
      <c r="H18" s="11"/>
      <c r="I18" s="11"/>
    </row>
    <row r="19" spans="1:9">
      <c r="A19" s="78"/>
      <c r="B19" s="21" t="s">
        <v>0</v>
      </c>
      <c r="C19" s="6" t="s">
        <v>9</v>
      </c>
      <c r="D19" s="46" t="s">
        <v>30</v>
      </c>
      <c r="E19" s="47"/>
      <c r="F19" s="11"/>
      <c r="G19" s="11"/>
      <c r="H19" s="11"/>
    </row>
    <row r="20" spans="1:9">
      <c r="A20" s="15" t="s">
        <v>10</v>
      </c>
      <c r="B20" s="21" t="s">
        <v>33</v>
      </c>
      <c r="C20" s="6"/>
      <c r="D20" s="46" t="s">
        <v>23</v>
      </c>
      <c r="E20" s="47"/>
      <c r="F20" s="11"/>
      <c r="G20" s="11"/>
      <c r="H20" s="11"/>
    </row>
    <row r="21" spans="1:9" ht="27" customHeight="1">
      <c r="A21" s="62" t="s">
        <v>17</v>
      </c>
      <c r="B21" s="63" t="s">
        <v>36</v>
      </c>
      <c r="C21" s="21" t="s">
        <v>34</v>
      </c>
      <c r="D21" s="46" t="s">
        <v>28</v>
      </c>
      <c r="E21" s="47"/>
      <c r="F21" s="11"/>
      <c r="G21" s="11"/>
      <c r="H21" s="11"/>
    </row>
    <row r="22" spans="1:9">
      <c r="A22" s="62"/>
      <c r="B22" s="64"/>
      <c r="C22" s="21" t="s">
        <v>35</v>
      </c>
      <c r="D22" s="46" t="s">
        <v>24</v>
      </c>
      <c r="E22" s="47"/>
      <c r="F22" s="11"/>
      <c r="G22" s="11"/>
      <c r="H22" s="11"/>
    </row>
    <row r="23" spans="1:9">
      <c r="A23" s="65" t="s">
        <v>1</v>
      </c>
      <c r="B23" s="67" t="s">
        <v>38</v>
      </c>
      <c r="C23" s="27" t="s">
        <v>11</v>
      </c>
      <c r="D23" s="46" t="s">
        <v>25</v>
      </c>
      <c r="E23" s="47"/>
      <c r="F23" s="11"/>
      <c r="G23" s="11"/>
      <c r="H23" s="11"/>
    </row>
    <row r="24" spans="1:9">
      <c r="A24" s="66"/>
      <c r="B24" s="68"/>
      <c r="C24" s="7" t="s">
        <v>12</v>
      </c>
      <c r="D24" s="46" t="s">
        <v>26</v>
      </c>
      <c r="E24" s="47"/>
      <c r="F24" s="11"/>
      <c r="G24" s="11"/>
      <c r="H24" s="11"/>
    </row>
    <row r="25" spans="1:9" ht="27" customHeight="1">
      <c r="A25" s="38" t="s">
        <v>2</v>
      </c>
      <c r="B25" s="39" t="s">
        <v>39</v>
      </c>
      <c r="C25" s="40" t="s">
        <v>13</v>
      </c>
      <c r="D25" s="52" t="s">
        <v>25</v>
      </c>
      <c r="E25" s="53"/>
      <c r="F25" s="11"/>
      <c r="G25" s="11"/>
      <c r="H25" s="11"/>
    </row>
    <row r="26" spans="1:9">
      <c r="A26" s="54" t="s">
        <v>3</v>
      </c>
      <c r="B26" s="56" t="s">
        <v>40</v>
      </c>
      <c r="C26" s="41" t="s">
        <v>14</v>
      </c>
      <c r="D26" s="52" t="s">
        <v>25</v>
      </c>
      <c r="E26" s="53"/>
      <c r="F26" s="11"/>
      <c r="G26" s="11"/>
      <c r="H26" s="11"/>
    </row>
    <row r="27" spans="1:9">
      <c r="A27" s="55"/>
      <c r="B27" s="57"/>
      <c r="C27" s="41" t="s">
        <v>15</v>
      </c>
      <c r="D27" s="52" t="s">
        <v>29</v>
      </c>
      <c r="E27" s="53"/>
      <c r="F27" s="11"/>
      <c r="G27" s="11"/>
      <c r="H27" s="11"/>
    </row>
    <row r="28" spans="1:9" ht="30">
      <c r="A28" s="43" t="s">
        <v>4</v>
      </c>
      <c r="B28" s="22" t="s">
        <v>41</v>
      </c>
      <c r="C28" s="20" t="s">
        <v>20</v>
      </c>
      <c r="D28" s="46" t="s">
        <v>27</v>
      </c>
      <c r="E28" s="47"/>
      <c r="F28" s="11"/>
      <c r="G28" s="11"/>
      <c r="H28" s="11"/>
    </row>
    <row r="29" spans="1:9">
      <c r="A29" s="15" t="s">
        <v>5</v>
      </c>
      <c r="B29" s="44" t="s">
        <v>42</v>
      </c>
      <c r="C29" s="45"/>
      <c r="D29" s="46" t="s">
        <v>25</v>
      </c>
      <c r="E29" s="47"/>
      <c r="F29" s="11"/>
      <c r="G29" s="11"/>
      <c r="H29" s="11"/>
    </row>
    <row r="30" spans="1:9" ht="40.5" customHeight="1">
      <c r="A30" s="23" t="s">
        <v>22</v>
      </c>
      <c r="B30" s="48" t="s">
        <v>44</v>
      </c>
      <c r="C30" s="49"/>
      <c r="D30" s="50" t="s">
        <v>43</v>
      </c>
      <c r="E30" s="51"/>
      <c r="F30" s="11"/>
      <c r="G30" s="11"/>
      <c r="H30" s="11"/>
    </row>
  </sheetData>
  <mergeCells count="27">
    <mergeCell ref="A23:A24"/>
    <mergeCell ref="B23:B24"/>
    <mergeCell ref="D23:E23"/>
    <mergeCell ref="D24:E24"/>
    <mergeCell ref="A14:G14"/>
    <mergeCell ref="A16:E16"/>
    <mergeCell ref="D17:E17"/>
    <mergeCell ref="A18:A19"/>
    <mergeCell ref="D18:E18"/>
    <mergeCell ref="D19:E19"/>
    <mergeCell ref="A13:B13"/>
    <mergeCell ref="A1:J1"/>
    <mergeCell ref="D20:E20"/>
    <mergeCell ref="A21:A22"/>
    <mergeCell ref="B21:B22"/>
    <mergeCell ref="D21:E21"/>
    <mergeCell ref="D22:E22"/>
    <mergeCell ref="A26:A27"/>
    <mergeCell ref="B26:B27"/>
    <mergeCell ref="D26:E26"/>
    <mergeCell ref="D27:E27"/>
    <mergeCell ref="D28:E28"/>
    <mergeCell ref="B29:C29"/>
    <mergeCell ref="D29:E29"/>
    <mergeCell ref="B30:C30"/>
    <mergeCell ref="D30:E30"/>
    <mergeCell ref="D25:E2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2018-04-09T06:22:37Z</dcterms:modified>
</cp:coreProperties>
</file>